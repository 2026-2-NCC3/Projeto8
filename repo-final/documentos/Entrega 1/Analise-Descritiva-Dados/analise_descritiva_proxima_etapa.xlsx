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Variáveis" sheetId="1" state="visible" r:id="rId3"/>
    <sheet name="2. Dados - Alunos" sheetId="2" state="visible" r:id="rId4"/>
    <sheet name="3. Dados - Cursos" sheetId="3" state="visible" r:id="rId5"/>
    <sheet name="4. Dados - Participação" sheetId="4" state="visible" r:id="rId6"/>
    <sheet name="5. Medidas - Quantitativas" sheetId="5" state="visible" r:id="rId7"/>
    <sheet name="6. Moda - Qualitativas" sheetId="6" state="visible" r:id="rId8"/>
    <sheet name="7. Gráficos Complementar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<sst xmlns="http://schemas.openxmlformats.org/spreadsheetml/2006/main" count="453" uniqueCount="207">
  <si>
    <t xml:space="preserve">Dicionário de Variáveis — Próxima Etapa (App do Aluno)</t>
  </si>
  <si>
    <t xml:space="preserve">Variáveis necessárias para acompanhamento dos estudantes e gestão dos cursos.</t>
  </si>
  <si>
    <t xml:space="preserve">Variável</t>
  </si>
  <si>
    <t xml:space="preserve">Origem (tabela.campo)</t>
  </si>
  <si>
    <t xml:space="preserve">Tipo</t>
  </si>
  <si>
    <t xml:space="preserve">Subtipo</t>
  </si>
  <si>
    <t xml:space="preserve">Escala / valores possíveis</t>
  </si>
  <si>
    <t xml:space="preserve">Medida de tendência central mais adequada</t>
  </si>
  <si>
    <t xml:space="preserve">Nome do aluno</t>
  </si>
  <si>
    <t xml:space="preserve">alunos.nome</t>
  </si>
  <si>
    <t xml:space="preserve">Qualitativa</t>
  </si>
  <si>
    <t xml:space="preserve">Nominal</t>
  </si>
  <si>
    <t xml:space="preserve">Texto livre (identificação)</t>
  </si>
  <si>
    <t xml:space="preserve">Não se aplica (identificador)</t>
  </si>
  <si>
    <t xml:space="preserve">Escola</t>
  </si>
  <si>
    <t xml:space="preserve">alunos.escola</t>
  </si>
  <si>
    <t xml:space="preserve">5 escolas parceiras cadastradas</t>
  </si>
  <si>
    <t xml:space="preserve">Moda</t>
  </si>
  <si>
    <t xml:space="preserve">Cidade</t>
  </si>
  <si>
    <t xml:space="preserve">alunos.cidade</t>
  </si>
  <si>
    <t xml:space="preserve">5 cidades da região metropolitana</t>
  </si>
  <si>
    <t xml:space="preserve">Série escolar</t>
  </si>
  <si>
    <t xml:space="preserve">alunos.serie</t>
  </si>
  <si>
    <t xml:space="preserve">Ordinal</t>
  </si>
  <si>
    <t xml:space="preserve">1º EM &lt; 2º EM &lt; 3º EM</t>
  </si>
  <si>
    <t xml:space="preserve">Mediana</t>
  </si>
  <si>
    <t xml:space="preserve">Nível de engajamento</t>
  </si>
  <si>
    <t xml:space="preserve">alunos.nivel</t>
  </si>
  <si>
    <t xml:space="preserve">Explorador &lt; Em trilha &lt; Referência</t>
  </si>
  <si>
    <t xml:space="preserve">Pontos acumulados</t>
  </si>
  <si>
    <t xml:space="preserve">alunos.pontos</t>
  </si>
  <si>
    <t xml:space="preserve">Quantitativa</t>
  </si>
  <si>
    <t xml:space="preserve">Discreta</t>
  </si>
  <si>
    <t xml:space="preserve">Inteiro, 0 a ~500</t>
  </si>
  <si>
    <t xml:space="preserve">Média (distribuição sem outliers extremos)</t>
  </si>
  <si>
    <t xml:space="preserve">Cursos em que está inscrito</t>
  </si>
  <si>
    <t xml:space="preserve">COUNT(inscricoes)</t>
  </si>
  <si>
    <t xml:space="preserve">Inteiro, 0 a 3</t>
  </si>
  <si>
    <t xml:space="preserve">Mediana (poucos valores possíveis, assimétrica)</t>
  </si>
  <si>
    <t xml:space="preserve">Total de presenças</t>
  </si>
  <si>
    <t xml:space="preserve">COUNT(presencas)</t>
  </si>
  <si>
    <t xml:space="preserve">Inteiro, depende do nº de encontros</t>
  </si>
  <si>
    <t xml:space="preserve">Mediana (sensível a outliers)</t>
  </si>
  <si>
    <t xml:space="preserve">Título do curso</t>
  </si>
  <si>
    <t xml:space="preserve">cursos.titulo</t>
  </si>
  <si>
    <t xml:space="preserve">Texto livre</t>
  </si>
  <si>
    <t xml:space="preserve">Categoria do curso</t>
  </si>
  <si>
    <t xml:space="preserve">cursos.categoria</t>
  </si>
  <si>
    <t xml:space="preserve">Tecnologia, Educação, Carreira, Idiomas, Inovação</t>
  </si>
  <si>
    <t xml:space="preserve">Carga horária do curso</t>
  </si>
  <si>
    <t xml:space="preserve">cursos.carga_horaria</t>
  </si>
  <si>
    <t xml:space="preserve">Contínua*</t>
  </si>
  <si>
    <t xml:space="preserve">Horas (8 a 30h) — *tratada em horas cheias</t>
  </si>
  <si>
    <t xml:space="preserve">Média</t>
  </si>
  <si>
    <t xml:space="preserve">Vagas totais</t>
  </si>
  <si>
    <t xml:space="preserve">cursos.vagas_totais</t>
  </si>
  <si>
    <t xml:space="preserve">Inteiro, 25 a 35</t>
  </si>
  <si>
    <t xml:space="preserve">Vagas disponíveis</t>
  </si>
  <si>
    <t xml:space="preserve">cursos.vagas_disponiveis</t>
  </si>
  <si>
    <t xml:space="preserve">Inteiro, 0 a vagas_totais</t>
  </si>
  <si>
    <t xml:space="preserve">Mediana (varia bastante entre cursos)</t>
  </si>
  <si>
    <t xml:space="preserve">Data do encontro</t>
  </si>
  <si>
    <t xml:space="preserve">atividades.data</t>
  </si>
  <si>
    <t xml:space="preserve">Contínua (temporal)</t>
  </si>
  <si>
    <t xml:space="preserve">Data (AAAA-MM-DD)</t>
  </si>
  <si>
    <t xml:space="preserve">Não se aplica (série temporal)</t>
  </si>
  <si>
    <t xml:space="preserve">Status da inscrição</t>
  </si>
  <si>
    <t xml:space="preserve">inscricoes.status</t>
  </si>
  <si>
    <t xml:space="preserve">inscrito, cursando, concluído, desistente</t>
  </si>
  <si>
    <t xml:space="preserve">id</t>
  </si>
  <si>
    <t xml:space="preserve">nome</t>
  </si>
  <si>
    <t xml:space="preserve">escola</t>
  </si>
  <si>
    <t xml:space="preserve">serie</t>
  </si>
  <si>
    <t xml:space="preserve">cidade</t>
  </si>
  <si>
    <t xml:space="preserve">pontos</t>
  </si>
  <si>
    <t xml:space="preserve">nivel</t>
  </si>
  <si>
    <t xml:space="preserve">1</t>
  </si>
  <si>
    <t xml:space="preserve">Ana Souza</t>
  </si>
  <si>
    <t xml:space="preserve">EE Prof. João XXIII</t>
  </si>
  <si>
    <t xml:space="preserve">1º EM</t>
  </si>
  <si>
    <t xml:space="preserve">São Paulo</t>
  </si>
  <si>
    <t xml:space="preserve">Explorador</t>
  </si>
  <si>
    <t xml:space="preserve">2</t>
  </si>
  <si>
    <t xml:space="preserve">Bruno Lima</t>
  </si>
  <si>
    <t xml:space="preserve">EE Dom Pedro II</t>
  </si>
  <si>
    <t xml:space="preserve">2º EM</t>
  </si>
  <si>
    <t xml:space="preserve">Guarulhos</t>
  </si>
  <si>
    <t xml:space="preserve">Referência</t>
  </si>
  <si>
    <t xml:space="preserve">3</t>
  </si>
  <si>
    <t xml:space="preserve">Carla Mendes</t>
  </si>
  <si>
    <t xml:space="preserve">EE Castro Alves</t>
  </si>
  <si>
    <t xml:space="preserve">3º EM</t>
  </si>
  <si>
    <t xml:space="preserve">Osasco</t>
  </si>
  <si>
    <t xml:space="preserve">Em trilha</t>
  </si>
  <si>
    <t xml:space="preserve">4</t>
  </si>
  <si>
    <t xml:space="preserve">Diego Alves</t>
  </si>
  <si>
    <t xml:space="preserve">EE Machado de Assis</t>
  </si>
  <si>
    <t xml:space="preserve">Santo André</t>
  </si>
  <si>
    <t xml:space="preserve">5</t>
  </si>
  <si>
    <t xml:space="preserve">Elisa Rocha</t>
  </si>
  <si>
    <t xml:space="preserve">EE Cora Coralina</t>
  </si>
  <si>
    <t xml:space="preserve">Diadema</t>
  </si>
  <si>
    <t xml:space="preserve">6</t>
  </si>
  <si>
    <t xml:space="preserve">Fábio Nunes</t>
  </si>
  <si>
    <t xml:space="preserve">7</t>
  </si>
  <si>
    <t xml:space="preserve">Gabriela Dias</t>
  </si>
  <si>
    <t xml:space="preserve">8</t>
  </si>
  <si>
    <t xml:space="preserve">Henrique Melo</t>
  </si>
  <si>
    <t xml:space="preserve">9</t>
  </si>
  <si>
    <t xml:space="preserve">Isabela Cruz</t>
  </si>
  <si>
    <t xml:space="preserve">10</t>
  </si>
  <si>
    <t xml:space="preserve">João Pedro</t>
  </si>
  <si>
    <t xml:space="preserve">11</t>
  </si>
  <si>
    <t xml:space="preserve">Karina Silva</t>
  </si>
  <si>
    <t xml:space="preserve">12</t>
  </si>
  <si>
    <t xml:space="preserve">Lucas Ferreira</t>
  </si>
  <si>
    <t xml:space="preserve">13</t>
  </si>
  <si>
    <t xml:space="preserve">Mariana Costa</t>
  </si>
  <si>
    <t xml:space="preserve">14</t>
  </si>
  <si>
    <t xml:space="preserve">Nicolas Barros</t>
  </si>
  <si>
    <t xml:space="preserve">15</t>
  </si>
  <si>
    <t xml:space="preserve">Olívia Ramos</t>
  </si>
  <si>
    <t xml:space="preserve">16</t>
  </si>
  <si>
    <t xml:space="preserve">Pedro Teixeira</t>
  </si>
  <si>
    <t xml:space="preserve">17</t>
  </si>
  <si>
    <t xml:space="preserve">Queila Santos</t>
  </si>
  <si>
    <t xml:space="preserve">18</t>
  </si>
  <si>
    <t xml:space="preserve">Rafael Pinto</t>
  </si>
  <si>
    <t xml:space="preserve">19</t>
  </si>
  <si>
    <t xml:space="preserve">Sofia Martins</t>
  </si>
  <si>
    <t xml:space="preserve">20</t>
  </si>
  <si>
    <t xml:space="preserve">Thiago Rocha</t>
  </si>
  <si>
    <t xml:space="preserve">21</t>
  </si>
  <si>
    <t xml:space="preserve">Ursula Carvalho</t>
  </si>
  <si>
    <t xml:space="preserve">22</t>
  </si>
  <si>
    <t xml:space="preserve">Vinícius Araújo</t>
  </si>
  <si>
    <t xml:space="preserve">23</t>
  </si>
  <si>
    <t xml:space="preserve">Wesley Gomes</t>
  </si>
  <si>
    <t xml:space="preserve">24</t>
  </si>
  <si>
    <t xml:space="preserve">Yasmin Ribeiro</t>
  </si>
  <si>
    <t xml:space="preserve">25</t>
  </si>
  <si>
    <t xml:space="preserve">Zeca Moreira</t>
  </si>
  <si>
    <t xml:space="preserve">26</t>
  </si>
  <si>
    <t xml:space="preserve">Amanda Farias</t>
  </si>
  <si>
    <t xml:space="preserve">27</t>
  </si>
  <si>
    <t xml:space="preserve">Bruna Castro</t>
  </si>
  <si>
    <t xml:space="preserve">28</t>
  </si>
  <si>
    <t xml:space="preserve">Caio Correia</t>
  </si>
  <si>
    <t xml:space="preserve">29</t>
  </si>
  <si>
    <t xml:space="preserve">Débora Vieira</t>
  </si>
  <si>
    <t xml:space="preserve">30</t>
  </si>
  <si>
    <t xml:space="preserve">Eduardo Batista</t>
  </si>
  <si>
    <t xml:space="preserve">titulo</t>
  </si>
  <si>
    <t xml:space="preserve">categoria</t>
  </si>
  <si>
    <t xml:space="preserve">local</t>
  </si>
  <si>
    <t xml:space="preserve">carga_horaria</t>
  </si>
  <si>
    <t xml:space="preserve">vagas_totais</t>
  </si>
  <si>
    <t xml:space="preserve">vagas_disponiveis</t>
  </si>
  <si>
    <t xml:space="preserve">Introdução à Programação</t>
  </si>
  <si>
    <t xml:space="preserve">Tecnologia</t>
  </si>
  <si>
    <t xml:space="preserve">FECAP - Liberdade</t>
  </si>
  <si>
    <t xml:space="preserve">Oficina de Redação para o ENEM</t>
  </si>
  <si>
    <t xml:space="preserve">Educação</t>
  </si>
  <si>
    <t xml:space="preserve">Online</t>
  </si>
  <si>
    <t xml:space="preserve">Orientação Profissional</t>
  </si>
  <si>
    <t xml:space="preserve">Carreira</t>
  </si>
  <si>
    <t xml:space="preserve">Inglês para o Mundo do Trabalho</t>
  </si>
  <si>
    <t xml:space="preserve">Idiomas</t>
  </si>
  <si>
    <t xml:space="preserve">Design Thinking na Prática</t>
  </si>
  <si>
    <t xml:space="preserve">Inovação</t>
  </si>
  <si>
    <t xml:space="preserve">Espaço Próxima Etapa</t>
  </si>
  <si>
    <t xml:space="preserve">Finanças Pessoais para Jovens</t>
  </si>
  <si>
    <t xml:space="preserve">Introdução a Dados e IA</t>
  </si>
  <si>
    <t xml:space="preserve">aluno_id</t>
  </si>
  <si>
    <t xml:space="preserve">cursos_inscritos</t>
  </si>
  <si>
    <t xml:space="preserve">total_presencas</t>
  </si>
  <si>
    <t xml:space="preserve">Medidas de tendência central e percentil 95 — variáveis quantitativas</t>
  </si>
  <si>
    <t xml:space="preserve">Fórmulas recalculam automaticamente se os dados das abas 2, 3 e 4 mudarem.</t>
  </si>
  <si>
    <t xml:space="preserve">Desvio padrão</t>
  </si>
  <si>
    <t xml:space="preserve">Percentil 95</t>
  </si>
  <si>
    <t xml:space="preserve">Interpretação do percentil 95</t>
  </si>
  <si>
    <t xml:space="preserve">Pontos acumulados (alunos)</t>
  </si>
  <si>
    <t xml:space="preserve">95% dos alunos têm até este total de pontos; acima disso estão os 5% mais engajados.</t>
  </si>
  <si>
    <t xml:space="preserve">95% dos alunos estão inscritos em até esta quantidade de cursos simultaneamente.</t>
  </si>
  <si>
    <t xml:space="preserve">Total de presenças por aluno</t>
  </si>
  <si>
    <t xml:space="preserve">95% dos alunos registraram até este número de presenças no período analisado.</t>
  </si>
  <si>
    <t xml:space="preserve">Carga horária dos cursos (h)</t>
  </si>
  <si>
    <t xml:space="preserve">95% dos cursos têm carga horária até este valor; acima disso estão os cursos mais longos.</t>
  </si>
  <si>
    <t xml:space="preserve">Vagas totais por curso</t>
  </si>
  <si>
    <t xml:space="preserve">95% dos cursos oferecem até esta quantidade de vagas.</t>
  </si>
  <si>
    <t xml:space="preserve">Distribuição de pontos acumulados (faixas de 100 em 100)</t>
  </si>
  <si>
    <t xml:space="preserve">Faixa</t>
  </si>
  <si>
    <t xml:space="preserve">Quantidade de alunos</t>
  </si>
  <si>
    <t xml:space="preserve">0-99</t>
  </si>
  <si>
    <t xml:space="preserve">100-199</t>
  </si>
  <si>
    <t xml:space="preserve">200-299</t>
  </si>
  <si>
    <t xml:space="preserve">300-399</t>
  </si>
  <si>
    <t xml:space="preserve">400-500</t>
  </si>
  <si>
    <t xml:space="preserve">Medida de tendência central para variáveis qualitativas: a Moda</t>
  </si>
  <si>
    <t xml:space="preserve">Média e mediana não se aplicam a variáveis nominais; a moda (categoria mais frequente) é a medida adequada. Empates são possíveis em amostras pequenas.</t>
  </si>
  <si>
    <t xml:space="preserve">Categoria</t>
  </si>
  <si>
    <t xml:space="preserve">Frequência</t>
  </si>
  <si>
    <t xml:space="preserve">Resumo — Moda por variável</t>
  </si>
  <si>
    <t xml:space="preserve">Moda (categoria mais frequente)</t>
  </si>
  <si>
    <t xml:space="preserve">Gráficos complementares (uma variável quantitativa por curso)</t>
  </si>
  <si>
    <t xml:space="preserve">Curso</t>
  </si>
  <si>
    <t xml:space="preserve">Carga horária (h)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</si>
</sst>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6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C97A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pontos acumulados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'5. Medidas - Quantitativas'!B14</c:f>
              <c:strCache>
                <c:ptCount val="1"/>
                <c:pt idx="0">
                  <c:v>Quantidade de alunos</c:v>
                </c:pt>
              </c:strCache>
            </c:strRef>
          </c:tx>
          <c:spPr>
            <a:solidFill>
              <a:srgbClr val="2f6f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Medidas - Quantitativas'!$A$15:$A$19</c:f>
              <c:strCache>
                <c:ptCount val="5"/>
                <c:pt idx="0">
                  <c:v>0-99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400-500</c:v>
                </c:pt>
              </c:strCache>
            </c:strRef>
          </c:cat>
          <c:val>
            <c:numRef>
              <c:f>'5. Medidas - Quantitativas'!$B$15:$B$19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72464991"/>
        <c:axId val="93687638"/>
      </c:barChart>
      <c:catAx>
        <c:axId val="72464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Faixa de pontos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87638"/>
        <c:crosses val="autoZero"/>
        <c:auto val="1"/>
        <c:lblAlgn val="ctr"/>
        <c:lblOffset val="100"/>
        <c:noMultiLvlLbl val="0"/>
      </c:catAx>
      <c:valAx>
        <c:axId val="93687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alunos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4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Nível de engajamento dos alunos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'6. Moda - Qualitativas'!B21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rgbClr val="2f6f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Moda - Qualitativas'!$A$22:$A$24</c:f>
              <c:strCache>
                <c:ptCount val="3"/>
                <c:pt idx="0">
                  <c:v>Explorador</c:v>
                </c:pt>
                <c:pt idx="1">
                  <c:v>Em trilha</c:v>
                </c:pt>
                <c:pt idx="2">
                  <c:v>Referência</c:v>
                </c:pt>
              </c:strCache>
            </c:strRef>
          </c:cat>
          <c:val>
            <c:numRef>
              <c:f>'6. Moda - Qualitativas'!$B$22:$B$24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</c:ser>
        <c:gapWidth val="150"/>
        <c:overlap val="0"/>
        <c:axId val="95633538"/>
        <c:axId val="59956032"/>
      </c:barChart>
      <c:catAx>
        <c:axId val="95633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Nível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56032"/>
        <c:crosses val="autoZero"/>
        <c:auto val="1"/>
        <c:lblAlgn val="ctr"/>
        <c:lblOffset val="100"/>
        <c:noMultiLvlLbl val="0"/>
      </c:catAx>
      <c:valAx>
        <c:axId val="59956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alunos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33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Cursos oferecidos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'6. Moda - Qualitativas'!B27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rgbClr val="8c97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Moda - Qualitativas'!$A$28:$A$32</c:f>
              <c:strCache>
                <c:ptCount val="5"/>
                <c:pt idx="0">
                  <c:v>Tecnologia</c:v>
                </c:pt>
                <c:pt idx="1">
                  <c:v>Educação</c:v>
                </c:pt>
                <c:pt idx="2">
                  <c:v>Carreira</c:v>
                </c:pt>
                <c:pt idx="3">
                  <c:v>Idiomas</c:v>
                </c:pt>
                <c:pt idx="4">
                  <c:v>Inovação</c:v>
                </c:pt>
              </c:strCache>
            </c:strRef>
          </c:cat>
          <c:val>
            <c:numRef>
              <c:f>'6. Moda - Qualitativas'!$B$28:$B$32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42209002"/>
        <c:axId val="21867394"/>
      </c:barChart>
      <c:catAx>
        <c:axId val="42209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67394"/>
        <c:crosses val="autoZero"/>
        <c:auto val="1"/>
        <c:lblAlgn val="ctr"/>
        <c:lblOffset val="100"/>
        <c:noMultiLvlLbl val="0"/>
      </c:catAx>
      <c:valAx>
        <c:axId val="2186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cursos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09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horária por curso (variável quantitativa contínua)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 Gráficos Complementares'!B3</c:f>
              <c:strCache>
                <c:ptCount val="1"/>
                <c:pt idx="0">
                  <c:v>Carga horária (h)</c:v>
                </c:pt>
              </c:strCache>
            </c:strRef>
          </c:tx>
          <c:spPr>
            <a:solidFill>
              <a:srgbClr val="2f6f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Gráficos Complementares'!$A$4:$A$10</c:f>
              <c:strCache>
                <c:ptCount val="7"/>
                <c:pt idx="0">
                  <c:v>Introdução à Programação</c:v>
                </c:pt>
                <c:pt idx="1">
                  <c:v>Oficina de Redação para o ENEM</c:v>
                </c:pt>
                <c:pt idx="2">
                  <c:v>Orientação Profissional</c:v>
                </c:pt>
                <c:pt idx="3">
                  <c:v>Inglês para o Mundo do Trabalho</c:v>
                </c:pt>
                <c:pt idx="4">
                  <c:v>Design Thinking na Prática</c:v>
                </c:pt>
                <c:pt idx="5">
                  <c:v>Finanças Pessoais para Jovens</c:v>
                </c:pt>
                <c:pt idx="6">
                  <c:v>Introdução a Dados e IA</c:v>
                </c:pt>
              </c:strCache>
            </c:strRef>
          </c:cat>
          <c:val>
            <c:numRef>
              <c:f>'7. Gráficos Complementares'!$B$4:$B$10</c:f>
              <c:numCache>
                <c:formatCode>General</c:formatCode>
                <c:ptCount val="7"/>
                <c:pt idx="0">
                  <c:v>20</c:v>
                </c:pt>
                <c:pt idx="1">
                  <c:v>12</c:v>
                </c:pt>
                <c:pt idx="2">
                  <c:v>8</c:v>
                </c:pt>
                <c:pt idx="3">
                  <c:v>30</c:v>
                </c:pt>
                <c:pt idx="4">
                  <c:v>16</c:v>
                </c:pt>
                <c:pt idx="5">
                  <c:v>10</c:v>
                </c:pt>
                <c:pt idx="6">
                  <c:v>24</c:v>
                </c:pt>
              </c:numCache>
            </c:numRef>
          </c:val>
        </c:ser>
        <c:gapWidth val="150"/>
        <c:overlap val="0"/>
        <c:axId val="97434353"/>
        <c:axId val="4774559"/>
      </c:barChart>
      <c:catAx>
        <c:axId val="974343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Curso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4559"/>
        <c:crosses val="autoZero"/>
        <c:auto val="1"/>
        <c:lblAlgn val="ctr"/>
        <c:lblOffset val="100"/>
        <c:noMultiLvlLbl val="0"/>
      </c:catAx>
      <c:valAx>
        <c:axId val="4774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horária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4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160560</xdr:rowOff>
    </xdr:from>
    <xdr:to>
      <xdr:col>5</xdr:col>
      <xdr:colOff>3285000</xdr:colOff>
      <xdr:row>28</xdr:row>
      <xdr:rowOff>21600</xdr:rowOff>
    </xdr:to>
    <xdr:graphicFrame>
      <xdr:nvGraphicFramePr>
        <xdr:cNvPr id="0" name="Chart 1"/>
        <xdr:cNvGraphicFramePr/>
      </xdr:nvGraphicFramePr>
      <xdr:xfrm>
        <a:off x="3806280" y="2476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12</xdr:col>
      <xdr:colOff>507600</xdr:colOff>
      <xdr:row>18</xdr:row>
      <xdr:rowOff>172440</xdr:rowOff>
    </xdr:to>
    <xdr:graphicFrame>
      <xdr:nvGraphicFramePr>
        <xdr:cNvPr id="1" name="Chart 1"/>
        <xdr:cNvGraphicFramePr/>
      </xdr:nvGraphicFramePr>
      <xdr:xfrm>
        <a:off x="338328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160920</xdr:rowOff>
    </xdr:from>
    <xdr:to>
      <xdr:col>12</xdr:col>
      <xdr:colOff>507600</xdr:colOff>
      <xdr:row>35</xdr:row>
      <xdr:rowOff>362880</xdr:rowOff>
    </xdr:to>
    <xdr:graphicFrame>
      <xdr:nvGraphicFramePr>
        <xdr:cNvPr id="2" name="Chart 2"/>
        <xdr:cNvGraphicFramePr/>
      </xdr:nvGraphicFramePr>
      <xdr:xfrm>
        <a:off x="3383280" y="4000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507600</xdr:colOff>
      <xdr:row>17</xdr:row>
      <xdr:rowOff>172080</xdr:rowOff>
    </xdr:to>
    <xdr:graphicFrame>
      <xdr:nvGraphicFramePr>
        <xdr:cNvPr id="3" name="Chart 1"/>
        <xdr:cNvGraphicFramePr/>
      </xdr:nvGraphicFramePr>
      <xdr:xfrm>
        <a:off x="4276800" y="380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10</v>
      </c>
      <c r="D6" s="0" t="s">
        <v>11</v>
      </c>
      <c r="E6" s="0" t="s">
        <v>16</v>
      </c>
      <c r="F6" s="0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10</v>
      </c>
      <c r="D7" s="0" t="s">
        <v>11</v>
      </c>
      <c r="E7" s="0" t="s">
        <v>20</v>
      </c>
      <c r="F7" s="0" t="s">
        <v>17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10</v>
      </c>
      <c r="D8" s="0" t="s">
        <v>23</v>
      </c>
      <c r="E8" s="0" t="s">
        <v>24</v>
      </c>
      <c r="F8" s="0" t="s">
        <v>25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10</v>
      </c>
      <c r="D9" s="0" t="s">
        <v>23</v>
      </c>
      <c r="E9" s="0" t="s">
        <v>28</v>
      </c>
      <c r="F9" s="0" t="s">
        <v>25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31</v>
      </c>
      <c r="D10" s="0" t="s">
        <v>32</v>
      </c>
      <c r="E10" s="0" t="s">
        <v>33</v>
      </c>
      <c r="F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31</v>
      </c>
      <c r="D11" s="0" t="s">
        <v>32</v>
      </c>
      <c r="E11" s="0" t="s">
        <v>37</v>
      </c>
      <c r="F11" s="0" t="s">
        <v>38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0" t="s">
        <v>31</v>
      </c>
      <c r="D12" s="0" t="s">
        <v>32</v>
      </c>
      <c r="E12" s="0" t="s">
        <v>41</v>
      </c>
      <c r="F12" s="0" t="s">
        <v>42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0" t="s">
        <v>10</v>
      </c>
      <c r="D13" s="0" t="s">
        <v>11</v>
      </c>
      <c r="E13" s="0" t="s">
        <v>45</v>
      </c>
      <c r="F13" s="0" t="s">
        <v>17</v>
      </c>
    </row>
    <row r="14" customFormat="false" ht="15" hidden="false" customHeight="false" outlineLevel="0" collapsed="false">
      <c r="A14" s="0" t="s">
        <v>46</v>
      </c>
      <c r="B14" s="0" t="s">
        <v>47</v>
      </c>
      <c r="C14" s="0" t="s">
        <v>10</v>
      </c>
      <c r="D14" s="0" t="s">
        <v>11</v>
      </c>
      <c r="E14" s="0" t="s">
        <v>48</v>
      </c>
      <c r="F14" s="0" t="s">
        <v>17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0" t="s">
        <v>31</v>
      </c>
      <c r="D15" s="0" t="s">
        <v>51</v>
      </c>
      <c r="E15" s="0" t="s">
        <v>52</v>
      </c>
      <c r="F15" s="0" t="s">
        <v>53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31</v>
      </c>
      <c r="D16" s="0" t="s">
        <v>32</v>
      </c>
      <c r="E16" s="0" t="s">
        <v>56</v>
      </c>
      <c r="F16" s="0" t="s">
        <v>53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s">
        <v>31</v>
      </c>
      <c r="D17" s="0" t="s">
        <v>32</v>
      </c>
      <c r="E17" s="0" t="s">
        <v>59</v>
      </c>
      <c r="F17" s="0" t="s">
        <v>60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31</v>
      </c>
      <c r="D18" s="0" t="s">
        <v>63</v>
      </c>
      <c r="E18" s="0" t="s">
        <v>64</v>
      </c>
      <c r="F18" s="0" t="s">
        <v>65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10</v>
      </c>
      <c r="D19" s="0" t="s">
        <v>11</v>
      </c>
      <c r="E19" s="0" t="s">
        <v>68</v>
      </c>
      <c r="F19" s="0" t="s">
        <v>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</row>
    <row r="2" customFormat="false" ht="15" hidden="false" customHeight="false" outlineLevel="0" collapsed="false">
      <c r="A2" s="0" t="s">
        <v>76</v>
      </c>
      <c r="B2" s="0" t="s">
        <v>77</v>
      </c>
      <c r="C2" s="0" t="s">
        <v>78</v>
      </c>
      <c r="D2" s="0" t="s">
        <v>79</v>
      </c>
      <c r="E2" s="0" t="s">
        <v>80</v>
      </c>
      <c r="F2" s="0" t="n">
        <v>120</v>
      </c>
      <c r="G2" s="0" t="s">
        <v>81</v>
      </c>
    </row>
    <row r="3" customFormat="false" ht="15" hidden="false" customHeight="false" outlineLevel="0" collapsed="false">
      <c r="A3" s="0" t="s">
        <v>82</v>
      </c>
      <c r="B3" s="0" t="s">
        <v>83</v>
      </c>
      <c r="C3" s="0" t="s">
        <v>84</v>
      </c>
      <c r="D3" s="0" t="s">
        <v>85</v>
      </c>
      <c r="E3" s="0" t="s">
        <v>86</v>
      </c>
      <c r="F3" s="0" t="n">
        <v>361</v>
      </c>
      <c r="G3" s="0" t="s">
        <v>87</v>
      </c>
    </row>
    <row r="4" customFormat="false" ht="15" hidden="false" customHeight="false" outlineLevel="0" collapsed="false">
      <c r="A4" s="0" t="s">
        <v>88</v>
      </c>
      <c r="B4" s="0" t="s">
        <v>89</v>
      </c>
      <c r="C4" s="0" t="s">
        <v>90</v>
      </c>
      <c r="D4" s="0" t="s">
        <v>91</v>
      </c>
      <c r="E4" s="0" t="s">
        <v>92</v>
      </c>
      <c r="F4" s="0" t="n">
        <v>260</v>
      </c>
      <c r="G4" s="0" t="s">
        <v>93</v>
      </c>
    </row>
    <row r="5" customFormat="false" ht="15" hidden="false" customHeight="false" outlineLevel="0" collapsed="false">
      <c r="A5" s="0" t="s">
        <v>94</v>
      </c>
      <c r="B5" s="0" t="s">
        <v>95</v>
      </c>
      <c r="C5" s="0" t="s">
        <v>96</v>
      </c>
      <c r="D5" s="0" t="s">
        <v>79</v>
      </c>
      <c r="E5" s="0" t="s">
        <v>97</v>
      </c>
      <c r="F5" s="0" t="n">
        <v>330</v>
      </c>
      <c r="G5" s="0" t="s">
        <v>93</v>
      </c>
    </row>
    <row r="6" customFormat="false" ht="15" hidden="false" customHeight="false" outlineLevel="0" collapsed="false">
      <c r="A6" s="0" t="s">
        <v>98</v>
      </c>
      <c r="B6" s="0" t="s">
        <v>99</v>
      </c>
      <c r="C6" s="0" t="s">
        <v>100</v>
      </c>
      <c r="D6" s="0" t="s">
        <v>85</v>
      </c>
      <c r="E6" s="0" t="s">
        <v>101</v>
      </c>
      <c r="F6" s="0" t="n">
        <v>125</v>
      </c>
      <c r="G6" s="0" t="s">
        <v>81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s">
        <v>78</v>
      </c>
      <c r="D7" s="0" t="s">
        <v>91</v>
      </c>
      <c r="E7" s="0" t="s">
        <v>80</v>
      </c>
      <c r="F7" s="0" t="n">
        <v>431</v>
      </c>
      <c r="G7" s="0" t="s">
        <v>87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s">
        <v>84</v>
      </c>
      <c r="D8" s="0" t="s">
        <v>79</v>
      </c>
      <c r="E8" s="0" t="s">
        <v>86</v>
      </c>
      <c r="F8" s="0" t="n">
        <v>324</v>
      </c>
      <c r="G8" s="0" t="s">
        <v>93</v>
      </c>
    </row>
    <row r="9" customFormat="false" ht="15" hidden="false" customHeight="false" outlineLevel="0" collapsed="false">
      <c r="A9" s="0" t="s">
        <v>106</v>
      </c>
      <c r="B9" s="0" t="s">
        <v>107</v>
      </c>
      <c r="C9" s="0" t="s">
        <v>90</v>
      </c>
      <c r="D9" s="0" t="s">
        <v>85</v>
      </c>
      <c r="E9" s="0" t="s">
        <v>92</v>
      </c>
      <c r="F9" s="0" t="n">
        <v>165</v>
      </c>
      <c r="G9" s="0" t="s">
        <v>93</v>
      </c>
    </row>
    <row r="10" customFormat="false" ht="15" hidden="false" customHeight="false" outlineLevel="0" collapsed="false">
      <c r="A10" s="0" t="s">
        <v>108</v>
      </c>
      <c r="B10" s="0" t="s">
        <v>109</v>
      </c>
      <c r="C10" s="0" t="s">
        <v>96</v>
      </c>
      <c r="D10" s="0" t="s">
        <v>91</v>
      </c>
      <c r="E10" s="0" t="s">
        <v>97</v>
      </c>
      <c r="F10" s="0" t="n">
        <v>411</v>
      </c>
      <c r="G10" s="0" t="s">
        <v>87</v>
      </c>
    </row>
    <row r="11" customFormat="false" ht="15" hidden="false" customHeight="false" outlineLevel="0" collapsed="false">
      <c r="A11" s="0" t="s">
        <v>110</v>
      </c>
      <c r="B11" s="0" t="s">
        <v>111</v>
      </c>
      <c r="C11" s="0" t="s">
        <v>100</v>
      </c>
      <c r="D11" s="0" t="s">
        <v>79</v>
      </c>
      <c r="E11" s="0" t="s">
        <v>101</v>
      </c>
      <c r="F11" s="0" t="n">
        <v>67</v>
      </c>
      <c r="G11" s="0" t="s">
        <v>81</v>
      </c>
    </row>
    <row r="12" customFormat="false" ht="15" hidden="false" customHeight="false" outlineLevel="0" collapsed="false">
      <c r="A12" s="0" t="s">
        <v>112</v>
      </c>
      <c r="B12" s="0" t="s">
        <v>113</v>
      </c>
      <c r="C12" s="0" t="s">
        <v>78</v>
      </c>
      <c r="D12" s="0" t="s">
        <v>85</v>
      </c>
      <c r="E12" s="0" t="s">
        <v>80</v>
      </c>
      <c r="F12" s="0" t="n">
        <v>210</v>
      </c>
      <c r="G12" s="0" t="s">
        <v>93</v>
      </c>
    </row>
    <row r="13" customFormat="false" ht="15" hidden="false" customHeight="false" outlineLevel="0" collapsed="false">
      <c r="A13" s="0" t="s">
        <v>114</v>
      </c>
      <c r="B13" s="0" t="s">
        <v>115</v>
      </c>
      <c r="C13" s="0" t="s">
        <v>84</v>
      </c>
      <c r="D13" s="0" t="s">
        <v>91</v>
      </c>
      <c r="E13" s="0" t="s">
        <v>86</v>
      </c>
      <c r="F13" s="0" t="n">
        <v>7</v>
      </c>
      <c r="G13" s="0" t="s">
        <v>81</v>
      </c>
    </row>
    <row r="14" customFormat="false" ht="15" hidden="false" customHeight="false" outlineLevel="0" collapsed="false">
      <c r="A14" s="0" t="s">
        <v>116</v>
      </c>
      <c r="B14" s="0" t="s">
        <v>117</v>
      </c>
      <c r="C14" s="0" t="s">
        <v>90</v>
      </c>
      <c r="D14" s="0" t="s">
        <v>79</v>
      </c>
      <c r="E14" s="0" t="s">
        <v>92</v>
      </c>
      <c r="F14" s="0" t="n">
        <v>184</v>
      </c>
      <c r="G14" s="0" t="s">
        <v>93</v>
      </c>
    </row>
    <row r="15" customFormat="false" ht="15" hidden="false" customHeight="false" outlineLevel="0" collapsed="false">
      <c r="A15" s="0" t="s">
        <v>118</v>
      </c>
      <c r="B15" s="0" t="s">
        <v>119</v>
      </c>
      <c r="C15" s="0" t="s">
        <v>96</v>
      </c>
      <c r="D15" s="0" t="s">
        <v>85</v>
      </c>
      <c r="E15" s="0" t="s">
        <v>97</v>
      </c>
      <c r="F15" s="0" t="n">
        <v>380</v>
      </c>
      <c r="G15" s="0" t="s">
        <v>87</v>
      </c>
    </row>
    <row r="16" customFormat="false" ht="15" hidden="false" customHeight="false" outlineLevel="0" collapsed="false">
      <c r="A16" s="0" t="s">
        <v>120</v>
      </c>
      <c r="B16" s="0" t="s">
        <v>121</v>
      </c>
      <c r="C16" s="0" t="s">
        <v>100</v>
      </c>
      <c r="D16" s="0" t="s">
        <v>91</v>
      </c>
      <c r="E16" s="0" t="s">
        <v>101</v>
      </c>
      <c r="F16" s="0" t="n">
        <v>147</v>
      </c>
      <c r="G16" s="0" t="s">
        <v>81</v>
      </c>
    </row>
    <row r="17" customFormat="false" ht="15" hidden="false" customHeight="false" outlineLevel="0" collapsed="false">
      <c r="A17" s="0" t="s">
        <v>122</v>
      </c>
      <c r="B17" s="0" t="s">
        <v>123</v>
      </c>
      <c r="C17" s="0" t="s">
        <v>78</v>
      </c>
      <c r="D17" s="0" t="s">
        <v>79</v>
      </c>
      <c r="E17" s="0" t="s">
        <v>80</v>
      </c>
      <c r="F17" s="0" t="n">
        <v>186</v>
      </c>
      <c r="G17" s="0" t="s">
        <v>93</v>
      </c>
    </row>
    <row r="18" customFormat="false" ht="15" hidden="false" customHeight="false" outlineLevel="0" collapsed="false">
      <c r="A18" s="0" t="s">
        <v>124</v>
      </c>
      <c r="B18" s="0" t="s">
        <v>125</v>
      </c>
      <c r="C18" s="0" t="s">
        <v>84</v>
      </c>
      <c r="D18" s="0" t="s">
        <v>85</v>
      </c>
      <c r="E18" s="0" t="s">
        <v>86</v>
      </c>
      <c r="F18" s="0" t="n">
        <v>434</v>
      </c>
      <c r="G18" s="0" t="s">
        <v>87</v>
      </c>
    </row>
    <row r="19" customFormat="false" ht="15" hidden="false" customHeight="false" outlineLevel="0" collapsed="false">
      <c r="A19" s="0" t="s">
        <v>126</v>
      </c>
      <c r="B19" s="0" t="s">
        <v>127</v>
      </c>
      <c r="C19" s="0" t="s">
        <v>90</v>
      </c>
      <c r="D19" s="0" t="s">
        <v>91</v>
      </c>
      <c r="E19" s="0" t="s">
        <v>92</v>
      </c>
      <c r="F19" s="0" t="n">
        <v>159</v>
      </c>
      <c r="G19" s="0" t="s">
        <v>93</v>
      </c>
    </row>
    <row r="20" customFormat="false" ht="15" hidden="false" customHeight="false" outlineLevel="0" collapsed="false">
      <c r="A20" s="0" t="s">
        <v>128</v>
      </c>
      <c r="B20" s="0" t="s">
        <v>129</v>
      </c>
      <c r="C20" s="0" t="s">
        <v>96</v>
      </c>
      <c r="D20" s="0" t="s">
        <v>79</v>
      </c>
      <c r="E20" s="0" t="s">
        <v>97</v>
      </c>
      <c r="F20" s="0" t="n">
        <v>81</v>
      </c>
      <c r="G20" s="0" t="s">
        <v>81</v>
      </c>
    </row>
    <row r="21" customFormat="false" ht="15" hidden="false" customHeight="false" outlineLevel="0" collapsed="false">
      <c r="A21" s="0" t="s">
        <v>130</v>
      </c>
      <c r="B21" s="0" t="s">
        <v>131</v>
      </c>
      <c r="C21" s="0" t="s">
        <v>100</v>
      </c>
      <c r="D21" s="0" t="s">
        <v>85</v>
      </c>
      <c r="E21" s="0" t="s">
        <v>101</v>
      </c>
      <c r="F21" s="0" t="n">
        <v>354</v>
      </c>
      <c r="G21" s="0" t="s">
        <v>87</v>
      </c>
    </row>
    <row r="22" customFormat="false" ht="15" hidden="false" customHeight="false" outlineLevel="0" collapsed="false">
      <c r="A22" s="0" t="s">
        <v>132</v>
      </c>
      <c r="B22" s="0" t="s">
        <v>133</v>
      </c>
      <c r="C22" s="0" t="s">
        <v>78</v>
      </c>
      <c r="D22" s="0" t="s">
        <v>91</v>
      </c>
      <c r="E22" s="0" t="s">
        <v>80</v>
      </c>
      <c r="F22" s="0" t="n">
        <v>492</v>
      </c>
      <c r="G22" s="0" t="s">
        <v>87</v>
      </c>
    </row>
    <row r="23" customFormat="false" ht="15" hidden="false" customHeight="false" outlineLevel="0" collapsed="false">
      <c r="A23" s="0" t="s">
        <v>134</v>
      </c>
      <c r="B23" s="0" t="s">
        <v>135</v>
      </c>
      <c r="C23" s="0" t="s">
        <v>84</v>
      </c>
      <c r="D23" s="0" t="s">
        <v>79</v>
      </c>
      <c r="E23" s="0" t="s">
        <v>86</v>
      </c>
      <c r="F23" s="0" t="n">
        <v>61</v>
      </c>
      <c r="G23" s="0" t="s">
        <v>81</v>
      </c>
    </row>
    <row r="24" customFormat="false" ht="15" hidden="false" customHeight="false" outlineLevel="0" collapsed="false">
      <c r="A24" s="0" t="s">
        <v>136</v>
      </c>
      <c r="B24" s="0" t="s">
        <v>137</v>
      </c>
      <c r="C24" s="0" t="s">
        <v>90</v>
      </c>
      <c r="D24" s="0" t="s">
        <v>85</v>
      </c>
      <c r="E24" s="0" t="s">
        <v>92</v>
      </c>
      <c r="F24" s="0" t="n">
        <v>475</v>
      </c>
      <c r="G24" s="0" t="s">
        <v>87</v>
      </c>
    </row>
    <row r="25" customFormat="false" ht="15" hidden="false" customHeight="false" outlineLevel="0" collapsed="false">
      <c r="A25" s="0" t="s">
        <v>138</v>
      </c>
      <c r="B25" s="0" t="s">
        <v>139</v>
      </c>
      <c r="C25" s="0" t="s">
        <v>96</v>
      </c>
      <c r="D25" s="0" t="s">
        <v>91</v>
      </c>
      <c r="E25" s="0" t="s">
        <v>97</v>
      </c>
      <c r="F25" s="0" t="n">
        <v>81</v>
      </c>
      <c r="G25" s="0" t="s">
        <v>81</v>
      </c>
    </row>
    <row r="26" customFormat="false" ht="15" hidden="false" customHeight="false" outlineLevel="0" collapsed="false">
      <c r="A26" s="0" t="s">
        <v>140</v>
      </c>
      <c r="B26" s="0" t="s">
        <v>141</v>
      </c>
      <c r="C26" s="0" t="s">
        <v>100</v>
      </c>
      <c r="D26" s="0" t="s">
        <v>79</v>
      </c>
      <c r="E26" s="0" t="s">
        <v>101</v>
      </c>
      <c r="F26" s="0" t="n">
        <v>79</v>
      </c>
      <c r="G26" s="0" t="s">
        <v>81</v>
      </c>
    </row>
    <row r="27" customFormat="false" ht="15" hidden="false" customHeight="false" outlineLevel="0" collapsed="false">
      <c r="A27" s="0" t="s">
        <v>142</v>
      </c>
      <c r="B27" s="0" t="s">
        <v>143</v>
      </c>
      <c r="C27" s="0" t="s">
        <v>78</v>
      </c>
      <c r="D27" s="0" t="s">
        <v>85</v>
      </c>
      <c r="E27" s="0" t="s">
        <v>80</v>
      </c>
      <c r="F27" s="0" t="n">
        <v>180</v>
      </c>
      <c r="G27" s="0" t="s">
        <v>93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84</v>
      </c>
      <c r="D28" s="0" t="s">
        <v>91</v>
      </c>
      <c r="E28" s="0" t="s">
        <v>86</v>
      </c>
      <c r="F28" s="0" t="n">
        <v>45</v>
      </c>
      <c r="G28" s="0" t="s">
        <v>81</v>
      </c>
    </row>
    <row r="29" customFormat="false" ht="15" hidden="false" customHeight="false" outlineLevel="0" collapsed="false">
      <c r="A29" s="0" t="s">
        <v>146</v>
      </c>
      <c r="B29" s="0" t="s">
        <v>147</v>
      </c>
      <c r="C29" s="0" t="s">
        <v>90</v>
      </c>
      <c r="D29" s="0" t="s">
        <v>79</v>
      </c>
      <c r="E29" s="0" t="s">
        <v>92</v>
      </c>
      <c r="F29" s="0" t="n">
        <v>206</v>
      </c>
      <c r="G29" s="0" t="s">
        <v>93</v>
      </c>
    </row>
    <row r="30" customFormat="false" ht="15" hidden="false" customHeight="false" outlineLevel="0" collapsed="false">
      <c r="A30" s="0" t="s">
        <v>148</v>
      </c>
      <c r="B30" s="0" t="s">
        <v>149</v>
      </c>
      <c r="C30" s="0" t="s">
        <v>96</v>
      </c>
      <c r="D30" s="0" t="s">
        <v>85</v>
      </c>
      <c r="E30" s="0" t="s">
        <v>97</v>
      </c>
      <c r="F30" s="0" t="n">
        <v>261</v>
      </c>
      <c r="G30" s="0" t="s">
        <v>93</v>
      </c>
    </row>
    <row r="31" customFormat="false" ht="15" hidden="false" customHeight="false" outlineLevel="0" collapsed="false">
      <c r="A31" s="0" t="s">
        <v>150</v>
      </c>
      <c r="B31" s="0" t="s">
        <v>151</v>
      </c>
      <c r="C31" s="0" t="s">
        <v>100</v>
      </c>
      <c r="D31" s="0" t="s">
        <v>91</v>
      </c>
      <c r="E31" s="0" t="s">
        <v>101</v>
      </c>
      <c r="F31" s="0" t="n">
        <v>99</v>
      </c>
      <c r="G31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6.85" hidden="false" customHeight="false" outlineLevel="0" collapsed="false">
      <c r="A1" s="3" t="s">
        <v>69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</row>
    <row r="2" customFormat="false" ht="15" hidden="false" customHeight="false" outlineLevel="0" collapsed="false">
      <c r="A2" s="0" t="s">
        <v>76</v>
      </c>
      <c r="B2" s="0" t="s">
        <v>158</v>
      </c>
      <c r="C2" s="0" t="s">
        <v>159</v>
      </c>
      <c r="D2" s="0" t="s">
        <v>160</v>
      </c>
      <c r="E2" s="0" t="n">
        <v>20</v>
      </c>
      <c r="F2" s="0" t="n">
        <v>25</v>
      </c>
      <c r="G2" s="0" t="n">
        <v>14</v>
      </c>
    </row>
    <row r="3" customFormat="false" ht="15" hidden="false" customHeight="false" outlineLevel="0" collapsed="false">
      <c r="A3" s="0" t="s">
        <v>82</v>
      </c>
      <c r="B3" s="0" t="s">
        <v>161</v>
      </c>
      <c r="C3" s="0" t="s">
        <v>162</v>
      </c>
      <c r="D3" s="0" t="s">
        <v>163</v>
      </c>
      <c r="E3" s="0" t="n">
        <v>12</v>
      </c>
      <c r="F3" s="0" t="n">
        <v>30</v>
      </c>
      <c r="G3" s="0" t="n">
        <v>28</v>
      </c>
    </row>
    <row r="4" customFormat="false" ht="15" hidden="false" customHeight="false" outlineLevel="0" collapsed="false">
      <c r="A4" s="0" t="s">
        <v>88</v>
      </c>
      <c r="B4" s="0" t="s">
        <v>164</v>
      </c>
      <c r="C4" s="0" t="s">
        <v>165</v>
      </c>
      <c r="D4" s="0" t="s">
        <v>160</v>
      </c>
      <c r="E4" s="0" t="n">
        <v>8</v>
      </c>
      <c r="F4" s="0" t="n">
        <v>35</v>
      </c>
      <c r="G4" s="0" t="n">
        <v>7</v>
      </c>
    </row>
    <row r="5" customFormat="false" ht="15" hidden="false" customHeight="false" outlineLevel="0" collapsed="false">
      <c r="A5" s="0" t="s">
        <v>94</v>
      </c>
      <c r="B5" s="0" t="s">
        <v>166</v>
      </c>
      <c r="C5" s="0" t="s">
        <v>167</v>
      </c>
      <c r="D5" s="0" t="s">
        <v>163</v>
      </c>
      <c r="E5" s="0" t="n">
        <v>30</v>
      </c>
      <c r="F5" s="0" t="n">
        <v>25</v>
      </c>
      <c r="G5" s="0" t="n">
        <v>18</v>
      </c>
    </row>
    <row r="6" customFormat="false" ht="15" hidden="false" customHeight="false" outlineLevel="0" collapsed="false">
      <c r="A6" s="0" t="s">
        <v>98</v>
      </c>
      <c r="B6" s="0" t="s">
        <v>168</v>
      </c>
      <c r="C6" s="0" t="s">
        <v>169</v>
      </c>
      <c r="D6" s="0" t="s">
        <v>170</v>
      </c>
      <c r="E6" s="0" t="n">
        <v>16</v>
      </c>
      <c r="F6" s="0" t="n">
        <v>30</v>
      </c>
      <c r="G6" s="0" t="n">
        <v>6</v>
      </c>
    </row>
    <row r="7" customFormat="false" ht="15" hidden="false" customHeight="false" outlineLevel="0" collapsed="false">
      <c r="A7" s="0" t="s">
        <v>102</v>
      </c>
      <c r="B7" s="0" t="s">
        <v>171</v>
      </c>
      <c r="C7" s="0" t="s">
        <v>165</v>
      </c>
      <c r="D7" s="0" t="s">
        <v>163</v>
      </c>
      <c r="E7" s="0" t="n">
        <v>10</v>
      </c>
      <c r="F7" s="0" t="n">
        <v>35</v>
      </c>
      <c r="G7" s="0" t="n">
        <v>10</v>
      </c>
    </row>
    <row r="8" customFormat="false" ht="15" hidden="false" customHeight="false" outlineLevel="0" collapsed="false">
      <c r="A8" s="0" t="s">
        <v>104</v>
      </c>
      <c r="B8" s="0" t="s">
        <v>172</v>
      </c>
      <c r="C8" s="0" t="s">
        <v>159</v>
      </c>
      <c r="D8" s="0" t="s">
        <v>160</v>
      </c>
      <c r="E8" s="0" t="n">
        <v>24</v>
      </c>
      <c r="F8" s="0" t="n">
        <v>25</v>
      </c>
      <c r="G8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3" t="s">
        <v>173</v>
      </c>
      <c r="B1" s="3" t="s">
        <v>70</v>
      </c>
      <c r="C1" s="3" t="s">
        <v>174</v>
      </c>
      <c r="D1" s="3" t="s">
        <v>175</v>
      </c>
    </row>
    <row r="2" customFormat="false" ht="15" hidden="false" customHeight="false" outlineLevel="0" collapsed="false">
      <c r="A2" s="0" t="s">
        <v>76</v>
      </c>
      <c r="B2" s="0" t="s">
        <v>77</v>
      </c>
      <c r="C2" s="0" t="n">
        <v>2</v>
      </c>
      <c r="D2" s="0" t="n">
        <v>6</v>
      </c>
    </row>
    <row r="3" customFormat="false" ht="15" hidden="false" customHeight="false" outlineLevel="0" collapsed="false">
      <c r="A3" s="0" t="s">
        <v>82</v>
      </c>
      <c r="B3" s="0" t="s">
        <v>83</v>
      </c>
      <c r="C3" s="0" t="n">
        <v>2</v>
      </c>
      <c r="D3" s="0" t="n">
        <v>16</v>
      </c>
    </row>
    <row r="4" customFormat="false" ht="15" hidden="false" customHeight="false" outlineLevel="0" collapsed="false">
      <c r="A4" s="0" t="s">
        <v>88</v>
      </c>
      <c r="B4" s="0" t="s">
        <v>89</v>
      </c>
      <c r="C4" s="0" t="n">
        <v>2</v>
      </c>
      <c r="D4" s="0" t="n">
        <v>12</v>
      </c>
    </row>
    <row r="5" customFormat="false" ht="15" hidden="false" customHeight="false" outlineLevel="0" collapsed="false">
      <c r="A5" s="0" t="s">
        <v>94</v>
      </c>
      <c r="B5" s="0" t="s">
        <v>95</v>
      </c>
      <c r="C5" s="0" t="n">
        <v>1</v>
      </c>
      <c r="D5" s="0" t="n">
        <v>3</v>
      </c>
    </row>
    <row r="6" customFormat="false" ht="15" hidden="false" customHeight="false" outlineLevel="0" collapsed="false">
      <c r="A6" s="0" t="s">
        <v>98</v>
      </c>
      <c r="B6" s="0" t="s">
        <v>99</v>
      </c>
      <c r="C6" s="0" t="n">
        <v>2</v>
      </c>
      <c r="D6" s="0" t="n">
        <v>6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n">
        <v>2</v>
      </c>
      <c r="D7" s="0" t="n">
        <v>12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n">
        <v>3</v>
      </c>
      <c r="D8" s="0" t="n">
        <v>30</v>
      </c>
    </row>
    <row r="9" customFormat="false" ht="15" hidden="false" customHeight="false" outlineLevel="0" collapsed="false">
      <c r="A9" s="0" t="s">
        <v>106</v>
      </c>
      <c r="B9" s="0" t="s">
        <v>107</v>
      </c>
      <c r="C9" s="0" t="n">
        <v>1</v>
      </c>
      <c r="D9" s="0" t="n">
        <v>1</v>
      </c>
    </row>
    <row r="10" customFormat="false" ht="15" hidden="false" customHeight="false" outlineLevel="0" collapsed="false">
      <c r="A10" s="0" t="s">
        <v>108</v>
      </c>
      <c r="B10" s="0" t="s">
        <v>109</v>
      </c>
      <c r="C10" s="0" t="n">
        <v>3</v>
      </c>
      <c r="D10" s="0" t="n">
        <v>15</v>
      </c>
    </row>
    <row r="11" customFormat="false" ht="15" hidden="false" customHeight="false" outlineLevel="0" collapsed="false">
      <c r="A11" s="0" t="s">
        <v>110</v>
      </c>
      <c r="B11" s="0" t="s">
        <v>111</v>
      </c>
      <c r="C11" s="0" t="n">
        <v>3</v>
      </c>
      <c r="D11" s="0" t="n">
        <v>18</v>
      </c>
    </row>
    <row r="12" customFormat="false" ht="15" hidden="false" customHeight="false" outlineLevel="0" collapsed="false">
      <c r="A12" s="0" t="s">
        <v>112</v>
      </c>
      <c r="B12" s="0" t="s">
        <v>113</v>
      </c>
      <c r="C12" s="0" t="n">
        <v>1</v>
      </c>
      <c r="D12" s="0" t="n">
        <v>2</v>
      </c>
    </row>
    <row r="13" customFormat="false" ht="15" hidden="false" customHeight="false" outlineLevel="0" collapsed="false">
      <c r="A13" s="0" t="s">
        <v>114</v>
      </c>
      <c r="B13" s="0" t="s">
        <v>115</v>
      </c>
      <c r="C13" s="0" t="n">
        <v>2</v>
      </c>
      <c r="D13" s="0" t="n">
        <v>12</v>
      </c>
    </row>
    <row r="14" customFormat="false" ht="15" hidden="false" customHeight="false" outlineLevel="0" collapsed="false">
      <c r="A14" s="0" t="s">
        <v>116</v>
      </c>
      <c r="B14" s="0" t="s">
        <v>117</v>
      </c>
      <c r="C14" s="0" t="n">
        <v>3</v>
      </c>
      <c r="D14" s="0" t="n">
        <v>24</v>
      </c>
    </row>
    <row r="15" customFormat="false" ht="15" hidden="false" customHeight="false" outlineLevel="0" collapsed="false">
      <c r="A15" s="0" t="s">
        <v>118</v>
      </c>
      <c r="B15" s="0" t="s">
        <v>119</v>
      </c>
      <c r="C15" s="0" t="n">
        <v>3</v>
      </c>
      <c r="D15" s="0" t="n">
        <v>27</v>
      </c>
    </row>
    <row r="16" customFormat="false" ht="15" hidden="false" customHeight="false" outlineLevel="0" collapsed="false">
      <c r="A16" s="0" t="s">
        <v>120</v>
      </c>
      <c r="B16" s="0" t="s">
        <v>121</v>
      </c>
      <c r="C16" s="0" t="n">
        <v>1</v>
      </c>
      <c r="D16" s="0" t="n">
        <v>2</v>
      </c>
    </row>
    <row r="17" customFormat="false" ht="15" hidden="false" customHeight="false" outlineLevel="0" collapsed="false">
      <c r="A17" s="0" t="s">
        <v>122</v>
      </c>
      <c r="B17" s="0" t="s">
        <v>123</v>
      </c>
      <c r="C17" s="0" t="n">
        <v>1</v>
      </c>
      <c r="D17" s="0" t="n">
        <v>2</v>
      </c>
    </row>
    <row r="18" customFormat="false" ht="15" hidden="false" customHeight="false" outlineLevel="0" collapsed="false">
      <c r="A18" s="0" t="s">
        <v>124</v>
      </c>
      <c r="B18" s="0" t="s">
        <v>125</v>
      </c>
      <c r="C18" s="0" t="n">
        <v>3</v>
      </c>
      <c r="D18" s="0" t="n">
        <v>15</v>
      </c>
    </row>
    <row r="19" customFormat="false" ht="15" hidden="false" customHeight="false" outlineLevel="0" collapsed="false">
      <c r="A19" s="0" t="s">
        <v>126</v>
      </c>
      <c r="B19" s="0" t="s">
        <v>127</v>
      </c>
      <c r="C19" s="0" t="n">
        <v>3</v>
      </c>
      <c r="D19" s="0" t="n">
        <v>24</v>
      </c>
    </row>
    <row r="20" customFormat="false" ht="15" hidden="false" customHeight="false" outlineLevel="0" collapsed="false">
      <c r="A20" s="0" t="s">
        <v>128</v>
      </c>
      <c r="B20" s="0" t="s">
        <v>129</v>
      </c>
      <c r="C20" s="0" t="n">
        <v>1</v>
      </c>
      <c r="D20" s="0" t="n">
        <v>2</v>
      </c>
    </row>
    <row r="21" customFormat="false" ht="15" hidden="false" customHeight="false" outlineLevel="0" collapsed="false">
      <c r="A21" s="0" t="s">
        <v>130</v>
      </c>
      <c r="B21" s="0" t="s">
        <v>131</v>
      </c>
      <c r="C21" s="0" t="n">
        <v>2</v>
      </c>
      <c r="D21" s="0" t="n">
        <v>4</v>
      </c>
    </row>
    <row r="22" customFormat="false" ht="15" hidden="false" customHeight="false" outlineLevel="0" collapsed="false">
      <c r="A22" s="0" t="s">
        <v>132</v>
      </c>
      <c r="B22" s="0" t="s">
        <v>133</v>
      </c>
      <c r="C22" s="0" t="n">
        <v>1</v>
      </c>
      <c r="D22" s="0" t="n">
        <v>5</v>
      </c>
    </row>
    <row r="23" customFormat="false" ht="15" hidden="false" customHeight="false" outlineLevel="0" collapsed="false">
      <c r="A23" s="0" t="s">
        <v>134</v>
      </c>
      <c r="B23" s="0" t="s">
        <v>135</v>
      </c>
      <c r="C23" s="0" t="n">
        <v>1</v>
      </c>
      <c r="D23" s="0" t="n">
        <v>5</v>
      </c>
    </row>
    <row r="24" customFormat="false" ht="15" hidden="false" customHeight="false" outlineLevel="0" collapsed="false">
      <c r="A24" s="0" t="s">
        <v>136</v>
      </c>
      <c r="B24" s="0" t="s">
        <v>137</v>
      </c>
      <c r="C24" s="0" t="n">
        <v>3</v>
      </c>
      <c r="D24" s="0" t="n">
        <v>36</v>
      </c>
    </row>
    <row r="25" customFormat="false" ht="15" hidden="false" customHeight="false" outlineLevel="0" collapsed="false">
      <c r="A25" s="0" t="s">
        <v>138</v>
      </c>
      <c r="B25" s="0" t="s">
        <v>139</v>
      </c>
      <c r="C25" s="0" t="n">
        <v>1</v>
      </c>
      <c r="D25" s="0" t="n">
        <v>6</v>
      </c>
    </row>
    <row r="26" customFormat="false" ht="15" hidden="false" customHeight="false" outlineLevel="0" collapsed="false">
      <c r="A26" s="0" t="s">
        <v>140</v>
      </c>
      <c r="B26" s="0" t="s">
        <v>141</v>
      </c>
      <c r="C26" s="0" t="n">
        <v>3</v>
      </c>
      <c r="D26" s="0" t="n">
        <v>21</v>
      </c>
    </row>
    <row r="27" customFormat="false" ht="15" hidden="false" customHeight="false" outlineLevel="0" collapsed="false">
      <c r="A27" s="0" t="s">
        <v>142</v>
      </c>
      <c r="B27" s="0" t="s">
        <v>143</v>
      </c>
      <c r="C27" s="0" t="n">
        <v>1</v>
      </c>
      <c r="D27" s="0" t="n">
        <v>2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n">
        <v>2</v>
      </c>
      <c r="D28" s="0" t="n">
        <v>12</v>
      </c>
    </row>
    <row r="29" customFormat="false" ht="15" hidden="false" customHeight="false" outlineLevel="0" collapsed="false">
      <c r="A29" s="0" t="s">
        <v>146</v>
      </c>
      <c r="B29" s="0" t="s">
        <v>147</v>
      </c>
      <c r="C29" s="0" t="n">
        <v>2</v>
      </c>
      <c r="D29" s="0" t="n">
        <v>2</v>
      </c>
    </row>
    <row r="30" customFormat="false" ht="15" hidden="false" customHeight="false" outlineLevel="0" collapsed="false">
      <c r="A30" s="0" t="s">
        <v>148</v>
      </c>
      <c r="B30" s="0" t="s">
        <v>149</v>
      </c>
      <c r="C30" s="0" t="n">
        <v>1</v>
      </c>
      <c r="D30" s="0" t="n">
        <v>2</v>
      </c>
    </row>
    <row r="31" customFormat="false" ht="15" hidden="false" customHeight="false" outlineLevel="0" collapsed="false">
      <c r="A31" s="0" t="s">
        <v>150</v>
      </c>
      <c r="B31" s="0" t="s">
        <v>151</v>
      </c>
      <c r="C31" s="0" t="n">
        <v>2</v>
      </c>
      <c r="D31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176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177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</v>
      </c>
      <c r="B4" s="4" t="s">
        <v>53</v>
      </c>
      <c r="C4" s="4" t="s">
        <v>25</v>
      </c>
      <c r="D4" s="4" t="s">
        <v>178</v>
      </c>
      <c r="E4" s="4" t="s">
        <v>179</v>
      </c>
      <c r="F4" s="4" t="s">
        <v>180</v>
      </c>
    </row>
    <row r="5" customFormat="false" ht="15" hidden="false" customHeight="false" outlineLevel="0" collapsed="false">
      <c r="A5" s="0" t="s">
        <v>181</v>
      </c>
      <c r="B5" s="0" t="n">
        <f aca="false">ROUND(AVERAGE('2. Dados - Alunos'!F2:F31),1)</f>
        <v>223.8</v>
      </c>
      <c r="C5" s="0" t="n">
        <f aca="false">MEDIAN('2. Dados - Alunos'!F2:F31)</f>
        <v>185</v>
      </c>
      <c r="D5" s="0" t="n">
        <f aca="false">ROUND(STDEV('2. Dados - Alunos'!F2:F31),1)</f>
        <v>142.4</v>
      </c>
      <c r="E5" s="0" t="n">
        <f aca="false">ROUND(PERCENTILE('2. Dados - Alunos'!F2:F31,0.95),1)</f>
        <v>456.6</v>
      </c>
      <c r="F5" s="0" t="s">
        <v>182</v>
      </c>
    </row>
    <row r="6" customFormat="false" ht="15" hidden="false" customHeight="false" outlineLevel="0" collapsed="false">
      <c r="A6" s="0" t="s">
        <v>35</v>
      </c>
      <c r="B6" s="0" t="n">
        <f aca="false">ROUND(AVERAGE('4. Dados - Participação'!C2:C31),1)</f>
        <v>1.9</v>
      </c>
      <c r="C6" s="0" t="n">
        <f aca="false">MEDIAN('4. Dados - Participação'!C2:C31)</f>
        <v>2</v>
      </c>
      <c r="D6" s="0" t="n">
        <f aca="false">ROUND(STDEV('4. Dados - Participação'!C2:C31),1)</f>
        <v>0.8</v>
      </c>
      <c r="E6" s="0" t="n">
        <f aca="false">ROUND(PERCENTILE('4. Dados - Participação'!C2:C31,0.95),1)</f>
        <v>3</v>
      </c>
      <c r="F6" s="0" t="s">
        <v>183</v>
      </c>
    </row>
    <row r="7" customFormat="false" ht="15" hidden="false" customHeight="false" outlineLevel="0" collapsed="false">
      <c r="A7" s="0" t="s">
        <v>184</v>
      </c>
      <c r="B7" s="0" t="n">
        <f aca="false">ROUND(AVERAGE('4. Dados - Participação'!D2:D31),1)</f>
        <v>11.1</v>
      </c>
      <c r="C7" s="0" t="n">
        <f aca="false">MEDIAN('4. Dados - Participação'!D2:D31)</f>
        <v>7</v>
      </c>
      <c r="D7" s="0" t="n">
        <f aca="false">ROUND(STDEV('4. Dados - Participação'!D2:D31),1)</f>
        <v>9.7</v>
      </c>
      <c r="E7" s="0" t="n">
        <f aca="false">ROUND(PERCENTILE('4. Dados - Participação'!D2:D31,0.95),1)</f>
        <v>28.7</v>
      </c>
      <c r="F7" s="0" t="s">
        <v>185</v>
      </c>
    </row>
    <row r="8" customFormat="false" ht="15" hidden="false" customHeight="false" outlineLevel="0" collapsed="false">
      <c r="A8" s="0" t="s">
        <v>186</v>
      </c>
      <c r="B8" s="0" t="n">
        <f aca="false">ROUND(AVERAGE('3. Dados - Cursos'!E2:E8),1)</f>
        <v>17.1</v>
      </c>
      <c r="C8" s="0" t="n">
        <f aca="false">MEDIAN('3. Dados - Cursos'!E2:E8)</f>
        <v>16</v>
      </c>
      <c r="D8" s="0" t="n">
        <f aca="false">ROUND(STDEV('3. Dados - Cursos'!E2:E8),1)</f>
        <v>8</v>
      </c>
      <c r="E8" s="0" t="n">
        <f aca="false">ROUND(PERCENTILE('3. Dados - Cursos'!E2:E8,0.95),1)</f>
        <v>28.2</v>
      </c>
      <c r="F8" s="0" t="s">
        <v>187</v>
      </c>
    </row>
    <row r="9" customFormat="false" ht="15" hidden="false" customHeight="false" outlineLevel="0" collapsed="false">
      <c r="A9" s="0" t="s">
        <v>188</v>
      </c>
      <c r="B9" s="0" t="n">
        <f aca="false">ROUND(AVERAGE('3. Dados - Cursos'!F2:F8),1)</f>
        <v>29.3</v>
      </c>
      <c r="C9" s="0" t="n">
        <f aca="false">MEDIAN('3. Dados - Cursos'!F2:F8)</f>
        <v>30</v>
      </c>
      <c r="D9" s="0" t="n">
        <f aca="false">ROUND(STDEV('3. Dados - Cursos'!F2:F8),1)</f>
        <v>4.5</v>
      </c>
      <c r="E9" s="0" t="n">
        <f aca="false">ROUND(PERCENTILE('3. Dados - Cursos'!F2:F8,0.95),1)</f>
        <v>35</v>
      </c>
      <c r="F9" s="0" t="s">
        <v>189</v>
      </c>
    </row>
    <row r="12" customFormat="false" ht="15" hidden="false" customHeight="false" outlineLevel="0" collapsed="false">
      <c r="A12" s="5" t="s">
        <v>190</v>
      </c>
      <c r="B12" s="5"/>
      <c r="C12" s="5"/>
      <c r="D12" s="5"/>
    </row>
    <row r="14" customFormat="false" ht="26.85" hidden="false" customHeight="false" outlineLevel="0" collapsed="false">
      <c r="A14" s="4" t="s">
        <v>191</v>
      </c>
      <c r="B14" s="4" t="s">
        <v>192</v>
      </c>
    </row>
    <row r="15" customFormat="false" ht="15" hidden="false" customHeight="false" outlineLevel="0" collapsed="false">
      <c r="A15" s="0" t="s">
        <v>193</v>
      </c>
      <c r="B15" s="0" t="n">
        <f aca="false">COUNTIFS('2. Dados - Alunos'!F2:F31,"&gt;="&amp;0,'2. Dados - Alunos'!F2:F31,"&lt;="&amp;99)</f>
        <v>8</v>
      </c>
    </row>
    <row r="16" customFormat="false" ht="15" hidden="false" customHeight="false" outlineLevel="0" collapsed="false">
      <c r="A16" s="0" t="s">
        <v>194</v>
      </c>
      <c r="B16" s="0" t="n">
        <f aca="false">COUNTIFS('2. Dados - Alunos'!F2:F31,"&gt;="&amp;100,'2. Dados - Alunos'!F2:F31,"&lt;="&amp;199)</f>
        <v>8</v>
      </c>
    </row>
    <row r="17" customFormat="false" ht="15" hidden="false" customHeight="false" outlineLevel="0" collapsed="false">
      <c r="A17" s="0" t="s">
        <v>195</v>
      </c>
      <c r="B17" s="0" t="n">
        <f aca="false">COUNTIFS('2. Dados - Alunos'!F2:F31,"&gt;="&amp;200,'2. Dados - Alunos'!F2:F31,"&lt;="&amp;299)</f>
        <v>4</v>
      </c>
    </row>
    <row r="18" customFormat="false" ht="15" hidden="false" customHeight="false" outlineLevel="0" collapsed="false">
      <c r="A18" s="0" t="s">
        <v>196</v>
      </c>
      <c r="B18" s="0" t="n">
        <f aca="false">COUNTIFS('2. Dados - Alunos'!F2:F31,"&gt;="&amp;300,'2. Dados - Alunos'!F2:F31,"&lt;="&amp;399)</f>
        <v>5</v>
      </c>
    </row>
    <row r="19" customFormat="false" ht="15" hidden="false" customHeight="false" outlineLevel="0" collapsed="false">
      <c r="A19" s="0" t="s">
        <v>197</v>
      </c>
      <c r="B19" s="0" t="n">
        <f aca="false">COUNTIFS('2. Dados - Alunos'!F2:F31,"&gt;="&amp;400,'2. Dados - Alunos'!F2:F31,"&lt;="&amp;500)</f>
        <v>5</v>
      </c>
    </row>
  </sheetData>
  <mergeCells count="3">
    <mergeCell ref="A1:F1"/>
    <mergeCell ref="A2:F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4"/>
  </cols>
  <sheetData>
    <row r="1" customFormat="false" ht="17.35" hidden="false" customHeight="false" outlineLevel="0" collapsed="false">
      <c r="A1" s="1" t="s">
        <v>198</v>
      </c>
      <c r="B1" s="1"/>
      <c r="C1" s="1"/>
      <c r="D1" s="1"/>
    </row>
    <row r="2" customFormat="false" ht="15" hidden="false" customHeight="false" outlineLevel="0" collapsed="false">
      <c r="A2" s="2" t="s">
        <v>199</v>
      </c>
      <c r="B2" s="2"/>
      <c r="C2" s="2"/>
      <c r="D2" s="2"/>
    </row>
    <row r="4" customFormat="false" ht="15" hidden="false" customHeight="false" outlineLevel="0" collapsed="false">
      <c r="A4" s="6" t="s">
        <v>14</v>
      </c>
    </row>
    <row r="5" customFormat="false" ht="15" hidden="false" customHeight="false" outlineLevel="0" collapsed="false">
      <c r="A5" s="4" t="s">
        <v>200</v>
      </c>
      <c r="B5" s="4" t="s">
        <v>201</v>
      </c>
    </row>
    <row r="6" customFormat="false" ht="15" hidden="false" customHeight="false" outlineLevel="0" collapsed="false">
      <c r="A6" s="0" t="s">
        <v>78</v>
      </c>
      <c r="B6" s="0" t="n">
        <f aca="false">COUNTIF('2. Dados - Alunos'!C2:C31,A6)</f>
        <v>6</v>
      </c>
    </row>
    <row r="7" customFormat="false" ht="15" hidden="false" customHeight="false" outlineLevel="0" collapsed="false">
      <c r="A7" s="0" t="s">
        <v>84</v>
      </c>
      <c r="B7" s="0" t="n">
        <f aca="false">COUNTIF('2. Dados - Alunos'!C2:C31,A7)</f>
        <v>6</v>
      </c>
    </row>
    <row r="8" customFormat="false" ht="15" hidden="false" customHeight="false" outlineLevel="0" collapsed="false">
      <c r="A8" s="0" t="s">
        <v>90</v>
      </c>
      <c r="B8" s="0" t="n">
        <f aca="false">COUNTIF('2. Dados - Alunos'!C2:C31,A8)</f>
        <v>6</v>
      </c>
    </row>
    <row r="9" customFormat="false" ht="15" hidden="false" customHeight="false" outlineLevel="0" collapsed="false">
      <c r="A9" s="0" t="s">
        <v>96</v>
      </c>
      <c r="B9" s="0" t="n">
        <f aca="false">COUNTIF('2. Dados - Alunos'!C2:C31,A9)</f>
        <v>6</v>
      </c>
    </row>
    <row r="10" customFormat="false" ht="15" hidden="false" customHeight="false" outlineLevel="0" collapsed="false">
      <c r="A10" s="0" t="s">
        <v>100</v>
      </c>
      <c r="B10" s="0" t="n">
        <f aca="false">COUNTIF('2. Dados - Alunos'!C2:C31,A10)</f>
        <v>6</v>
      </c>
    </row>
    <row r="12" customFormat="false" ht="15" hidden="false" customHeight="false" outlineLevel="0" collapsed="false">
      <c r="A12" s="6" t="s">
        <v>18</v>
      </c>
    </row>
    <row r="13" customFormat="false" ht="15" hidden="false" customHeight="false" outlineLevel="0" collapsed="false">
      <c r="A13" s="4" t="s">
        <v>200</v>
      </c>
      <c r="B13" s="4" t="s">
        <v>201</v>
      </c>
    </row>
    <row r="14" customFormat="false" ht="15" hidden="false" customHeight="false" outlineLevel="0" collapsed="false">
      <c r="A14" s="0" t="s">
        <v>80</v>
      </c>
      <c r="B14" s="0" t="n">
        <f aca="false">COUNTIF('2. Dados - Alunos'!E2:E31,A14)</f>
        <v>6</v>
      </c>
    </row>
    <row r="15" customFormat="false" ht="15" hidden="false" customHeight="false" outlineLevel="0" collapsed="false">
      <c r="A15" s="0" t="s">
        <v>86</v>
      </c>
      <c r="B15" s="0" t="n">
        <f aca="false">COUNTIF('2. Dados - Alunos'!E2:E31,A15)</f>
        <v>6</v>
      </c>
    </row>
    <row r="16" customFormat="false" ht="15" hidden="false" customHeight="false" outlineLevel="0" collapsed="false">
      <c r="A16" s="0" t="s">
        <v>92</v>
      </c>
      <c r="B16" s="0" t="n">
        <f aca="false">COUNTIF('2. Dados - Alunos'!E2:E31,A16)</f>
        <v>6</v>
      </c>
    </row>
    <row r="17" customFormat="false" ht="15" hidden="false" customHeight="false" outlineLevel="0" collapsed="false">
      <c r="A17" s="0" t="s">
        <v>97</v>
      </c>
      <c r="B17" s="0" t="n">
        <f aca="false">COUNTIF('2. Dados - Alunos'!E2:E31,A17)</f>
        <v>6</v>
      </c>
    </row>
    <row r="18" customFormat="false" ht="15" hidden="false" customHeight="false" outlineLevel="0" collapsed="false">
      <c r="A18" s="0" t="s">
        <v>101</v>
      </c>
      <c r="B18" s="0" t="n">
        <f aca="false">COUNTIF('2. Dados - Alunos'!E2:E31,A18)</f>
        <v>6</v>
      </c>
    </row>
    <row r="20" customFormat="false" ht="15" hidden="false" customHeight="false" outlineLevel="0" collapsed="false">
      <c r="A20" s="6" t="s">
        <v>26</v>
      </c>
    </row>
    <row r="21" customFormat="false" ht="15" hidden="false" customHeight="false" outlineLevel="0" collapsed="false">
      <c r="A21" s="4" t="s">
        <v>200</v>
      </c>
      <c r="B21" s="4" t="s">
        <v>201</v>
      </c>
    </row>
    <row r="22" customFormat="false" ht="15" hidden="false" customHeight="false" outlineLevel="0" collapsed="false">
      <c r="A22" s="0" t="s">
        <v>81</v>
      </c>
      <c r="B22" s="0" t="n">
        <f aca="false">COUNTIF('2. Dados - Alunos'!G2:G31,A22)</f>
        <v>11</v>
      </c>
    </row>
    <row r="23" customFormat="false" ht="15" hidden="false" customHeight="false" outlineLevel="0" collapsed="false">
      <c r="A23" s="0" t="s">
        <v>93</v>
      </c>
      <c r="B23" s="0" t="n">
        <f aca="false">COUNTIF('2. Dados - Alunos'!G2:G31,A23)</f>
        <v>11</v>
      </c>
    </row>
    <row r="24" customFormat="false" ht="15" hidden="false" customHeight="false" outlineLevel="0" collapsed="false">
      <c r="A24" s="0" t="s">
        <v>87</v>
      </c>
      <c r="B24" s="0" t="n">
        <f aca="false">COUNTIF('2. Dados - Alunos'!G2:G31,A24)</f>
        <v>8</v>
      </c>
    </row>
    <row r="26" customFormat="false" ht="15" hidden="false" customHeight="false" outlineLevel="0" collapsed="false">
      <c r="A26" s="6" t="s">
        <v>46</v>
      </c>
    </row>
    <row r="27" customFormat="false" ht="15" hidden="false" customHeight="false" outlineLevel="0" collapsed="false">
      <c r="A27" s="4" t="s">
        <v>200</v>
      </c>
      <c r="B27" s="4" t="s">
        <v>201</v>
      </c>
    </row>
    <row r="28" customFormat="false" ht="15" hidden="false" customHeight="false" outlineLevel="0" collapsed="false">
      <c r="A28" s="0" t="s">
        <v>159</v>
      </c>
      <c r="B28" s="0" t="n">
        <f aca="false">COUNTIF('3. Dados - Cursos'!C2:C8,A28)</f>
        <v>2</v>
      </c>
    </row>
    <row r="29" customFormat="false" ht="15" hidden="false" customHeight="false" outlineLevel="0" collapsed="false">
      <c r="A29" s="0" t="s">
        <v>162</v>
      </c>
      <c r="B29" s="0" t="n">
        <f aca="false">COUNTIF('3. Dados - Cursos'!C2:C8,A29)</f>
        <v>1</v>
      </c>
    </row>
    <row r="30" customFormat="false" ht="15" hidden="false" customHeight="false" outlineLevel="0" collapsed="false">
      <c r="A30" s="0" t="s">
        <v>165</v>
      </c>
      <c r="B30" s="0" t="n">
        <f aca="false">COUNTIF('3. Dados - Cursos'!C2:C8,A30)</f>
        <v>2</v>
      </c>
    </row>
    <row r="31" customFormat="false" ht="15" hidden="false" customHeight="false" outlineLevel="0" collapsed="false">
      <c r="A31" s="0" t="s">
        <v>167</v>
      </c>
      <c r="B31" s="0" t="n">
        <f aca="false">COUNTIF('3. Dados - Cursos'!C2:C8,A31)</f>
        <v>1</v>
      </c>
    </row>
    <row r="32" customFormat="false" ht="15" hidden="false" customHeight="false" outlineLevel="0" collapsed="false">
      <c r="A32" s="0" t="s">
        <v>169</v>
      </c>
      <c r="B32" s="0" t="n">
        <f aca="false">COUNTIF('3. Dados - Cursos'!C2:C8,A32)</f>
        <v>1</v>
      </c>
    </row>
    <row r="35" customFormat="false" ht="15" hidden="false" customHeight="false" outlineLevel="0" collapsed="false">
      <c r="A35" s="6" t="s">
        <v>202</v>
      </c>
    </row>
    <row r="36" customFormat="false" ht="52.2" hidden="false" customHeight="false" outlineLevel="0" collapsed="false">
      <c r="A36" s="4" t="s">
        <v>2</v>
      </c>
      <c r="B36" s="4" t="s">
        <v>203</v>
      </c>
      <c r="C36" s="4" t="s">
        <v>201</v>
      </c>
    </row>
    <row r="37" customFormat="false" ht="15" hidden="false" customHeight="false" outlineLevel="0" collapsed="false">
      <c r="A37" s="0" t="s">
        <v>14</v>
      </c>
      <c r="B37" s="0" t="str">
        <f aca="false">INDEX(A6:A10,MATCH(MAX(B6:B10),B6:B10,0))</f>
        <v>EE Prof. João XXIII</v>
      </c>
      <c r="C37" s="0" t="n">
        <f aca="false">MAX(B6:B10)</f>
        <v>6</v>
      </c>
    </row>
    <row r="38" customFormat="false" ht="15" hidden="false" customHeight="false" outlineLevel="0" collapsed="false">
      <c r="A38" s="0" t="s">
        <v>18</v>
      </c>
      <c r="B38" s="0" t="str">
        <f aca="false">INDEX(A14:A18,MATCH(MAX(B14:B18),B14:B18,0))</f>
        <v>São Paulo</v>
      </c>
      <c r="C38" s="0" t="n">
        <f aca="false">MAX(B14:B18)</f>
        <v>6</v>
      </c>
    </row>
    <row r="39" customFormat="false" ht="15" hidden="false" customHeight="false" outlineLevel="0" collapsed="false">
      <c r="A39" s="0" t="s">
        <v>26</v>
      </c>
      <c r="B39" s="0" t="str">
        <f aca="false">INDEX(A22:A24,MATCH(MAX(B22:B24),B22:B24,0))</f>
        <v>Explorador</v>
      </c>
      <c r="C39" s="0" t="n">
        <f aca="false">MAX(B22:B24)</f>
        <v>11</v>
      </c>
    </row>
    <row r="40" customFormat="false" ht="15" hidden="false" customHeight="false" outlineLevel="0" collapsed="false">
      <c r="A40" s="0" t="s">
        <v>46</v>
      </c>
      <c r="B40" s="0" t="str">
        <f aca="false">INDEX(A28:A32,MATCH(MAX(B28:B32),B28:B32,0))</f>
        <v>Tecnologia</v>
      </c>
      <c r="C40" s="0" t="n">
        <f aca="false">MAX(B28:B32)</f>
        <v>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204</v>
      </c>
      <c r="B1" s="1"/>
      <c r="C1" s="1"/>
    </row>
    <row r="3" customFormat="false" ht="15" hidden="false" customHeight="false" outlineLevel="0" collapsed="false">
      <c r="A3" s="4" t="s">
        <v>205</v>
      </c>
      <c r="B3" s="4" t="s">
        <v>206</v>
      </c>
    </row>
    <row r="4" customFormat="false" ht="15" hidden="false" customHeight="false" outlineLevel="0" collapsed="false">
      <c r="A4" s="0" t="str">
        <f aca="false">'3. Dados - Cursos'!B2</f>
        <v>Introdução à Programação</v>
      </c>
      <c r="B4" s="0" t="n">
        <f aca="false">'3. Dados - Cursos'!E2</f>
        <v>20</v>
      </c>
    </row>
    <row r="5" customFormat="false" ht="15" hidden="false" customHeight="false" outlineLevel="0" collapsed="false">
      <c r="A5" s="0" t="str">
        <f aca="false">'3. Dados - Cursos'!B3</f>
        <v>Oficina de Redação para o ENEM</v>
      </c>
      <c r="B5" s="0" t="n">
        <f aca="false">'3. Dados - Cursos'!E3</f>
        <v>12</v>
      </c>
    </row>
    <row r="6" customFormat="false" ht="15" hidden="false" customHeight="false" outlineLevel="0" collapsed="false">
      <c r="A6" s="0" t="str">
        <f aca="false">'3. Dados - Cursos'!B4</f>
        <v>Orientação Profissional</v>
      </c>
      <c r="B6" s="0" t="n">
        <f aca="false">'3. Dados - Cursos'!E4</f>
        <v>8</v>
      </c>
    </row>
    <row r="7" customFormat="false" ht="15" hidden="false" customHeight="false" outlineLevel="0" collapsed="false">
      <c r="A7" s="0" t="str">
        <f aca="false">'3. Dados - Cursos'!B5</f>
        <v>Inglês para o Mundo do Trabalho</v>
      </c>
      <c r="B7" s="0" t="n">
        <f aca="false">'3. Dados - Cursos'!E5</f>
        <v>30</v>
      </c>
    </row>
    <row r="8" customFormat="false" ht="15" hidden="false" customHeight="false" outlineLevel="0" collapsed="false">
      <c r="A8" s="0" t="str">
        <f aca="false">'3. Dados - Cursos'!B6</f>
        <v>Design Thinking na Prática</v>
      </c>
      <c r="B8" s="0" t="n">
        <f aca="false">'3. Dados - Cursos'!E6</f>
        <v>16</v>
      </c>
    </row>
    <row r="9" customFormat="false" ht="15" hidden="false" customHeight="false" outlineLevel="0" collapsed="false">
      <c r="A9" s="0" t="str">
        <f aca="false">'3. Dados - Cursos'!B7</f>
        <v>Finanças Pessoais para Jovens</v>
      </c>
      <c r="B9" s="0" t="n">
        <f aca="false">'3. Dados - Cursos'!E7</f>
        <v>10</v>
      </c>
    </row>
    <row r="10" customFormat="false" ht="15" hidden="false" customHeight="false" outlineLevel="0" collapsed="false">
      <c r="A10" s="0" t="str">
        <f aca="false">'3. Dados - Cursos'!B8</f>
        <v>Introdução a Dados e IA</v>
      </c>
      <c r="B10" s="0" t="n">
        <f aca="false">'3. Dados - Cursos'!E8</f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2026-09-21T16:10:43Z</dcterms:created>
  <dc:creator>openpyxl</dc:creator>
  <dc:description/>
  <dc:language>en-US</dc:language>
  <cp:lastModifiedBy/>
  <dcterms:modified xsi:type="dcterms:W3CDTF">2026-09-21T13:10:47Z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